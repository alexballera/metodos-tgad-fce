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Federico\Downloads\"/>
    </mc:Choice>
  </mc:AlternateContent>
  <xr:revisionPtr revIDLastSave="0" documentId="8_{3544FDE5-73BC-4CCC-AD86-86DDA9EB13F2}" xr6:coauthVersionLast="47" xr6:coauthVersionMax="47" xr10:uidLastSave="{00000000-0000-0000-0000-000000000000}"/>
  <bookViews>
    <workbookView xWindow="-110" yWindow="-110" windowWidth="19420" windowHeight="10300" firstSheet="1" activeTab="1" xr2:uid="{E4A42D3D-938F-4E37-98FF-B2BCF81CDCF7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4" i="1" l="1"/>
  <c r="H61" i="1"/>
  <c r="G62" i="1"/>
  <c r="G61" i="1"/>
  <c r="F62" i="1"/>
  <c r="F61" i="1"/>
  <c r="F63" i="1"/>
  <c r="E63" i="1" l="1"/>
</calcChain>
</file>

<file path=xl/sharedStrings.xml><?xml version="1.0" encoding="utf-8"?>
<sst xmlns="http://schemas.openxmlformats.org/spreadsheetml/2006/main" count="94" uniqueCount="88">
  <si>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</si>
  <si>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</si>
  <si>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</si>
  <si>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</si>
  <si>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</si>
  <si>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</si>
  <si>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</si>
  <si>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</si>
  <si>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</si>
  <si>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</si>
  <si>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</si>
  <si>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</si>
  <si>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</si>
  <si>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</si>
  <si>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</si>
  <si>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</si>
  <si>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</si>
  <si>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</si>
  <si>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</si>
  <si>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</si>
  <si>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</si>
  <si>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</si>
  <si>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</si>
  <si>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</si>
  <si>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X1</t>
  </si>
  <si>
    <t>X2</t>
  </si>
  <si>
    <t>X3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</si>
  <si>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</si>
  <si>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</si>
  <si>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</si>
  <si>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</si>
  <si>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</si>
  <si>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</si>
  <si>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</si>
  <si>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</si>
  <si>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Se quiere estudiar si existe relacion entre la utilidad bruta de las empresas de cierta industria, y el número de empleados, número de dividendos de acciones comunes consecuivos pagados, y el valor total del inventario al principio de cada año actual. Para ello se tomo una muestra de 16 empresas y se obtuvieron los datos precedentes.</t>
  </si>
  <si>
    <t>a) Definimos Variables Dependientes e Independientes</t>
  </si>
  <si>
    <t>Var. Dependiente/Expicada/Regresada =</t>
  </si>
  <si>
    <t>Utilidad Bruta (Y)</t>
  </si>
  <si>
    <t>Var. Independiente/Expicativas/Regresoras =</t>
  </si>
  <si>
    <t>Número de Empleados (X1)</t>
  </si>
  <si>
    <t>Numero de Dividendos (X2)</t>
  </si>
  <si>
    <t>Valor Total del Inventario (X3)</t>
  </si>
  <si>
    <t>b) Modelo Teórico</t>
  </si>
  <si>
    <t>Y = B0 + B1*X1 + B2*X2 + B3*X3</t>
  </si>
  <si>
    <t>Ecuación de Regresión</t>
  </si>
  <si>
    <r>
      <t xml:space="preserve">y = b0 + b1*X1 + b2*X2 + b3*X3 + </t>
    </r>
    <r>
      <rPr>
        <sz val="11"/>
        <color theme="1"/>
        <rFont val="MS Reference Sans Serif"/>
        <family val="2"/>
      </rPr>
      <t>ε</t>
    </r>
  </si>
  <si>
    <t>Ecuación Estimada de Regresión</t>
  </si>
  <si>
    <t>c) A partir de los siguientes resultados:</t>
  </si>
  <si>
    <t>Coeficientes</t>
  </si>
  <si>
    <t>Estadístico t</t>
  </si>
  <si>
    <t>Intercepcion</t>
  </si>
  <si>
    <t>x1</t>
  </si>
  <si>
    <t>x2</t>
  </si>
  <si>
    <t>x3</t>
  </si>
  <si>
    <t>c.1) Ecuación de la regresión e interpretación de los coeficientes.</t>
  </si>
  <si>
    <t>y = 965.28 + 2.86*X1 + 6.75*X2 + 0.28*X3</t>
  </si>
  <si>
    <t>b0 =</t>
  </si>
  <si>
    <t>Como 0 no forma parte de mi muestra, el intercepto no tiene validez.</t>
  </si>
  <si>
    <t>b1 =</t>
  </si>
  <si>
    <t>Ante un incremento unitario en el número de empleados, mateniendo constante el número de dividendos y  el valor total del inventario, la utilidad bruta se incrementa 2.86.</t>
  </si>
  <si>
    <t>b2 =</t>
  </si>
  <si>
    <t>Ante un incremento unitario en el número de dividendos, mateniendo constante el número de empleados y  el valor total del inventario, la utilidad bruta se incrementa 6.75.</t>
  </si>
  <si>
    <t>b3 =</t>
  </si>
  <si>
    <t>Ante un incremento unitario en el valor total de inventario, mateniendo constante el número de empleados y  el número de dividendos, la utilidad bruta se incrementa 0.28.</t>
  </si>
  <si>
    <t>c.2)</t>
  </si>
  <si>
    <t>Armar la tabla de ANOVA y decidir si la regresión es significativa globalmente con un nivel de significaicón del 5% (0.05)</t>
  </si>
  <si>
    <t>Suma de Cuadrados</t>
  </si>
  <si>
    <t>GL</t>
  </si>
  <si>
    <t>CM</t>
  </si>
  <si>
    <t>Femp</t>
  </si>
  <si>
    <t>Regresion</t>
  </si>
  <si>
    <t>n'-1</t>
  </si>
  <si>
    <t>n' = cantidad de parametros a estimar</t>
  </si>
  <si>
    <t>Residuos</t>
  </si>
  <si>
    <t>n-cantidad de parametros a estimar</t>
  </si>
  <si>
    <t>n-1</t>
  </si>
  <si>
    <t>Femp &gt; Fcrit?</t>
  </si>
  <si>
    <t>H0:</t>
  </si>
  <si>
    <t>B1 = B2 = B3 = 0</t>
  </si>
  <si>
    <t>14.9 &gt; 3.49</t>
  </si>
  <si>
    <t>H1:</t>
  </si>
  <si>
    <t>algún Bi es distinto de 0</t>
  </si>
  <si>
    <t>Bi &lt;&gt; 0</t>
  </si>
  <si>
    <t>Fcrit = F n'-1; n-4; 0.05</t>
  </si>
  <si>
    <t>No se rechaza la H0</t>
  </si>
  <si>
    <t>F = 3.490295</t>
  </si>
  <si>
    <t>RTA: Tenemos evidencia suficiente para rechazar la H0, por lo tanto la regresión es globalmente significativa.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</si>
</sst>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MS Reference Sans Serif"/>
      <family val="2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164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164" fontId="0" fillId="0" borderId="1" xfId="0" applyNumberFormat="1" applyBorder="1"/>
    <xf numFmtId="0" fontId="0" fillId="0" borderId="3" xfId="0" applyBorder="1" applyAlignment="1">
      <alignment horizontal="center"/>
    </xf>
    <xf numFmtId="164" fontId="0" fillId="0" borderId="3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2" borderId="0" xfId="0" applyFill="1"/>
    <xf numFmtId="0" fontId="0" fillId="0" borderId="6" xfId="0" applyBorder="1"/>
    <xf numFmtId="0" fontId="0" fillId="3" borderId="6" xfId="0" applyFill="1" applyBorder="1" applyAlignment="1">
      <alignment horizontal="center"/>
    </xf>
    <xf numFmtId="0" fontId="0" fillId="0" borderId="7" xfId="0" applyBorder="1"/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Continuous"/>
    </xf>
    <xf numFmtId="0" fontId="0" fillId="4" borderId="7" xfId="0" applyFill="1" applyBorder="1"/>
    <xf numFmtId="164" fontId="0" fillId="0" borderId="0" xfId="1" applyFont="1" applyFill="1" applyBorder="1" applyAlignment="1"/>
    <xf numFmtId="164" fontId="0" fillId="0" borderId="7" xfId="1" applyFont="1" applyFill="1" applyBorder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Sheet1!$B$2:$B$17</c:f>
              <c:numCache>
                <c:formatCode>General</c:formatCode>
                <c:ptCount val="16"/>
                <c:pt idx="0">
                  <c:v>140</c:v>
                </c:pt>
                <c:pt idx="1">
                  <c:v>65</c:v>
                </c:pt>
                <c:pt idx="2">
                  <c:v>130</c:v>
                </c:pt>
                <c:pt idx="3">
                  <c:v>115</c:v>
                </c:pt>
                <c:pt idx="4">
                  <c:v>390</c:v>
                </c:pt>
                <c:pt idx="5">
                  <c:v>670</c:v>
                </c:pt>
                <c:pt idx="6">
                  <c:v>205</c:v>
                </c:pt>
                <c:pt idx="7">
                  <c:v>40</c:v>
                </c:pt>
                <c:pt idx="8">
                  <c:v>480</c:v>
                </c:pt>
                <c:pt idx="9">
                  <c:v>810</c:v>
                </c:pt>
                <c:pt idx="10">
                  <c:v>120</c:v>
                </c:pt>
                <c:pt idx="11">
                  <c:v>590</c:v>
                </c:pt>
                <c:pt idx="12">
                  <c:v>440</c:v>
                </c:pt>
                <c:pt idx="13">
                  <c:v>280</c:v>
                </c:pt>
                <c:pt idx="14">
                  <c:v>650</c:v>
                </c:pt>
                <c:pt idx="15">
                  <c:v>150</c:v>
                </c:pt>
              </c:numCache>
            </c:numRef>
          </c:xVal>
          <c:yVal>
            <c:numRef>
              <c:f>Sheet2!$C$27:$C$42</c:f>
              <c:numCache>
                <c:formatCode>General</c:formatCode>
                <c:ptCount val="16"/>
                <c:pt idx="0">
                  <c:v>835.46933578852645</c:v>
                </c:pt>
                <c:pt idx="1">
                  <c:v>-85.277452252940293</c:v>
                </c:pt>
                <c:pt idx="2">
                  <c:v>-626.97995744306445</c:v>
                </c:pt>
                <c:pt idx="3">
                  <c:v>-256.9249245783958</c:v>
                </c:pt>
                <c:pt idx="4">
                  <c:v>572.67345447058779</c:v>
                </c:pt>
                <c:pt idx="5">
                  <c:v>-30.231920793342397</c:v>
                </c:pt>
                <c:pt idx="6">
                  <c:v>1160.9906976235648</c:v>
                </c:pt>
                <c:pt idx="7">
                  <c:v>-784.35847695718121</c:v>
                </c:pt>
                <c:pt idx="8">
                  <c:v>-1114.8704255539633</c:v>
                </c:pt>
                <c:pt idx="9">
                  <c:v>-84.7063628087908</c:v>
                </c:pt>
                <c:pt idx="10">
                  <c:v>226.55588186728892</c:v>
                </c:pt>
                <c:pt idx="11">
                  <c:v>418.62480989250707</c:v>
                </c:pt>
                <c:pt idx="12">
                  <c:v>-1547.3720841278109</c:v>
                </c:pt>
                <c:pt idx="13">
                  <c:v>1974.6813213835144</c:v>
                </c:pt>
                <c:pt idx="14">
                  <c:v>292.32743983884666</c:v>
                </c:pt>
                <c:pt idx="15">
                  <c:v>-950.60133634934846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58-4F91-8547-1F40865F5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111791"/>
        <c:axId val="559118511"/>
      </c:scatterChart>
      <c:valAx>
        <c:axId val="559111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9118511"/>
        <c:crosses val="autoZero"/>
        <c:crossBetween val="midCat"/>
      </c:valAx>
      <c:valAx>
        <c:axId val="5591185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911179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Sheet1!$C$2:$C$17</c:f>
              <c:numCache>
                <c:formatCode>General</c:formatCode>
                <c:ptCount val="16"/>
                <c:pt idx="0">
                  <c:v>12</c:v>
                </c:pt>
                <c:pt idx="1">
                  <c:v>21</c:v>
                </c:pt>
                <c:pt idx="2">
                  <c:v>42</c:v>
                </c:pt>
                <c:pt idx="3">
                  <c:v>80</c:v>
                </c:pt>
                <c:pt idx="4">
                  <c:v>120</c:v>
                </c:pt>
                <c:pt idx="5">
                  <c:v>64</c:v>
                </c:pt>
                <c:pt idx="6">
                  <c:v>43</c:v>
                </c:pt>
                <c:pt idx="7">
                  <c:v>14</c:v>
                </c:pt>
                <c:pt idx="8">
                  <c:v>88</c:v>
                </c:pt>
                <c:pt idx="9">
                  <c:v>98</c:v>
                </c:pt>
                <c:pt idx="10">
                  <c:v>44</c:v>
                </c:pt>
                <c:pt idx="11">
                  <c:v>110</c:v>
                </c:pt>
                <c:pt idx="12">
                  <c:v>38</c:v>
                </c:pt>
                <c:pt idx="13">
                  <c:v>24</c:v>
                </c:pt>
                <c:pt idx="14">
                  <c:v>60</c:v>
                </c:pt>
                <c:pt idx="15">
                  <c:v>24</c:v>
                </c:pt>
              </c:numCache>
            </c:numRef>
          </c:xVal>
          <c:yVal>
            <c:numRef>
              <c:f>Sheet2!$C$27:$C$42</c:f>
              <c:numCache>
                <c:formatCode>General</c:formatCode>
                <c:ptCount val="16"/>
                <c:pt idx="0">
                  <c:v>835.46933578852645</c:v>
                </c:pt>
                <c:pt idx="1">
                  <c:v>-85.277452252940293</c:v>
                </c:pt>
                <c:pt idx="2">
                  <c:v>-626.97995744306445</c:v>
                </c:pt>
                <c:pt idx="3">
                  <c:v>-256.9249245783958</c:v>
                </c:pt>
                <c:pt idx="4">
                  <c:v>572.67345447058779</c:v>
                </c:pt>
                <c:pt idx="5">
                  <c:v>-30.231920793342397</c:v>
                </c:pt>
                <c:pt idx="6">
                  <c:v>1160.9906976235648</c:v>
                </c:pt>
                <c:pt idx="7">
                  <c:v>-784.35847695718121</c:v>
                </c:pt>
                <c:pt idx="8">
                  <c:v>-1114.8704255539633</c:v>
                </c:pt>
                <c:pt idx="9">
                  <c:v>-84.7063628087908</c:v>
                </c:pt>
                <c:pt idx="10">
                  <c:v>226.55588186728892</c:v>
                </c:pt>
                <c:pt idx="11">
                  <c:v>418.62480989250707</c:v>
                </c:pt>
                <c:pt idx="12">
                  <c:v>-1547.3720841278109</c:v>
                </c:pt>
                <c:pt idx="13">
                  <c:v>1974.6813213835144</c:v>
                </c:pt>
                <c:pt idx="14">
                  <c:v>292.32743983884666</c:v>
                </c:pt>
                <c:pt idx="15">
                  <c:v>-950.60133634934846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1D-4890-BDF2-CC6CC916F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015599"/>
        <c:axId val="950013199"/>
      </c:scatterChart>
      <c:valAx>
        <c:axId val="950015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0013199"/>
        <c:crosses val="autoZero"/>
        <c:crossBetween val="midCat"/>
      </c:valAx>
      <c:valAx>
        <c:axId val="9500131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001559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X3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Sheet1!$D$2:$D$17</c:f>
              <c:numCache>
                <c:formatCode>General</c:formatCode>
                <c:ptCount val="16"/>
                <c:pt idx="0">
                  <c:v>1800</c:v>
                </c:pt>
                <c:pt idx="1">
                  <c:v>320</c:v>
                </c:pt>
                <c:pt idx="2">
                  <c:v>820</c:v>
                </c:pt>
                <c:pt idx="3">
                  <c:v>76</c:v>
                </c:pt>
                <c:pt idx="4">
                  <c:v>3600</c:v>
                </c:pt>
                <c:pt idx="5">
                  <c:v>8400</c:v>
                </c:pt>
                <c:pt idx="6">
                  <c:v>508</c:v>
                </c:pt>
                <c:pt idx="7">
                  <c:v>870</c:v>
                </c:pt>
                <c:pt idx="8">
                  <c:v>5500</c:v>
                </c:pt>
                <c:pt idx="9">
                  <c:v>9875</c:v>
                </c:pt>
                <c:pt idx="10">
                  <c:v>6500</c:v>
                </c:pt>
                <c:pt idx="11">
                  <c:v>9130</c:v>
                </c:pt>
                <c:pt idx="12">
                  <c:v>1200</c:v>
                </c:pt>
                <c:pt idx="13">
                  <c:v>890</c:v>
                </c:pt>
                <c:pt idx="14">
                  <c:v>1200</c:v>
                </c:pt>
                <c:pt idx="15">
                  <c:v>1300</c:v>
                </c:pt>
              </c:numCache>
            </c:numRef>
          </c:xVal>
          <c:yVal>
            <c:numRef>
              <c:f>Sheet2!$C$27:$C$42</c:f>
              <c:numCache>
                <c:formatCode>General</c:formatCode>
                <c:ptCount val="16"/>
                <c:pt idx="0">
                  <c:v>835.46933578852645</c:v>
                </c:pt>
                <c:pt idx="1">
                  <c:v>-85.277452252940293</c:v>
                </c:pt>
                <c:pt idx="2">
                  <c:v>-626.97995744306445</c:v>
                </c:pt>
                <c:pt idx="3">
                  <c:v>-256.9249245783958</c:v>
                </c:pt>
                <c:pt idx="4">
                  <c:v>572.67345447058779</c:v>
                </c:pt>
                <c:pt idx="5">
                  <c:v>-30.231920793342397</c:v>
                </c:pt>
                <c:pt idx="6">
                  <c:v>1160.9906976235648</c:v>
                </c:pt>
                <c:pt idx="7">
                  <c:v>-784.35847695718121</c:v>
                </c:pt>
                <c:pt idx="8">
                  <c:v>-1114.8704255539633</c:v>
                </c:pt>
                <c:pt idx="9">
                  <c:v>-84.7063628087908</c:v>
                </c:pt>
                <c:pt idx="10">
                  <c:v>226.55588186728892</c:v>
                </c:pt>
                <c:pt idx="11">
                  <c:v>418.62480989250707</c:v>
                </c:pt>
                <c:pt idx="12">
                  <c:v>-1547.3720841278109</c:v>
                </c:pt>
                <c:pt idx="13">
                  <c:v>1974.6813213835144</c:v>
                </c:pt>
                <c:pt idx="14">
                  <c:v>292.32743983884666</c:v>
                </c:pt>
                <c:pt idx="15">
                  <c:v>-950.60133634934846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CA-4D9D-AF3F-3150585B9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023279"/>
        <c:axId val="950018479"/>
      </c:scatterChart>
      <c:valAx>
        <c:axId val="950023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X3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0018479"/>
        <c:crosses val="autoZero"/>
        <c:crossBetween val="midCat"/>
      </c:valAx>
      <c:valAx>
        <c:axId val="950018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00232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X1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Sheet1!$B$2:$B$17</c:f>
              <c:numCache>
                <c:formatCode>General</c:formatCode>
                <c:ptCount val="16"/>
                <c:pt idx="0">
                  <c:v>140</c:v>
                </c:pt>
                <c:pt idx="1">
                  <c:v>65</c:v>
                </c:pt>
                <c:pt idx="2">
                  <c:v>130</c:v>
                </c:pt>
                <c:pt idx="3">
                  <c:v>115</c:v>
                </c:pt>
                <c:pt idx="4">
                  <c:v>390</c:v>
                </c:pt>
                <c:pt idx="5">
                  <c:v>670</c:v>
                </c:pt>
                <c:pt idx="6">
                  <c:v>205</c:v>
                </c:pt>
                <c:pt idx="7">
                  <c:v>40</c:v>
                </c:pt>
                <c:pt idx="8">
                  <c:v>480</c:v>
                </c:pt>
                <c:pt idx="9">
                  <c:v>810</c:v>
                </c:pt>
                <c:pt idx="10">
                  <c:v>120</c:v>
                </c:pt>
                <c:pt idx="11">
                  <c:v>590</c:v>
                </c:pt>
                <c:pt idx="12">
                  <c:v>440</c:v>
                </c:pt>
                <c:pt idx="13">
                  <c:v>280</c:v>
                </c:pt>
                <c:pt idx="14">
                  <c:v>650</c:v>
                </c:pt>
                <c:pt idx="15">
                  <c:v>150</c:v>
                </c:pt>
              </c:numCache>
            </c:numRef>
          </c:xVal>
          <c:yVal>
            <c:numRef>
              <c:f>Sheet1!$A$2:$A$17</c:f>
              <c:numCache>
                <c:formatCode>General</c:formatCode>
                <c:ptCount val="16"/>
                <c:pt idx="0">
                  <c:v>2800</c:v>
                </c:pt>
                <c:pt idx="1">
                  <c:v>1300</c:v>
                </c:pt>
                <c:pt idx="2">
                  <c:v>1230</c:v>
                </c:pt>
                <c:pt idx="3">
                  <c:v>1600</c:v>
                </c:pt>
                <c:pt idx="4">
                  <c:v>4500</c:v>
                </c:pt>
                <c:pt idx="5">
                  <c:v>5700</c:v>
                </c:pt>
                <c:pt idx="6">
                  <c:v>3150</c:v>
                </c:pt>
                <c:pt idx="7">
                  <c:v>640</c:v>
                </c:pt>
                <c:pt idx="8">
                  <c:v>3400</c:v>
                </c:pt>
                <c:pt idx="9">
                  <c:v>6700</c:v>
                </c:pt>
                <c:pt idx="10">
                  <c:v>3700</c:v>
                </c:pt>
                <c:pt idx="11">
                  <c:v>6440</c:v>
                </c:pt>
                <c:pt idx="12">
                  <c:v>1280</c:v>
                </c:pt>
                <c:pt idx="13">
                  <c:v>4160</c:v>
                </c:pt>
                <c:pt idx="14">
                  <c:v>3870</c:v>
                </c:pt>
                <c:pt idx="15">
                  <c:v>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D6-4DC1-BA36-3E38B432283B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Sheet1!$B$2:$B$17</c:f>
              <c:numCache>
                <c:formatCode>General</c:formatCode>
                <c:ptCount val="16"/>
                <c:pt idx="0">
                  <c:v>140</c:v>
                </c:pt>
                <c:pt idx="1">
                  <c:v>65</c:v>
                </c:pt>
                <c:pt idx="2">
                  <c:v>130</c:v>
                </c:pt>
                <c:pt idx="3">
                  <c:v>115</c:v>
                </c:pt>
                <c:pt idx="4">
                  <c:v>390</c:v>
                </c:pt>
                <c:pt idx="5">
                  <c:v>670</c:v>
                </c:pt>
                <c:pt idx="6">
                  <c:v>205</c:v>
                </c:pt>
                <c:pt idx="7">
                  <c:v>40</c:v>
                </c:pt>
                <c:pt idx="8">
                  <c:v>480</c:v>
                </c:pt>
                <c:pt idx="9">
                  <c:v>810</c:v>
                </c:pt>
                <c:pt idx="10">
                  <c:v>120</c:v>
                </c:pt>
                <c:pt idx="11">
                  <c:v>590</c:v>
                </c:pt>
                <c:pt idx="12">
                  <c:v>440</c:v>
                </c:pt>
                <c:pt idx="13">
                  <c:v>280</c:v>
                </c:pt>
                <c:pt idx="14">
                  <c:v>650</c:v>
                </c:pt>
                <c:pt idx="15">
                  <c:v>150</c:v>
                </c:pt>
              </c:numCache>
            </c:numRef>
          </c:xVal>
          <c:yVal>
            <c:numRef>
              <c:f>Sheet2!$B$27:$B$42</c:f>
              <c:numCache>
                <c:formatCode>General</c:formatCode>
                <c:ptCount val="16"/>
                <c:pt idx="0">
                  <c:v>1964.5306642114735</c:v>
                </c:pt>
                <c:pt idx="1">
                  <c:v>1385.2774522529403</c:v>
                </c:pt>
                <c:pt idx="2">
                  <c:v>1856.9799574430644</c:v>
                </c:pt>
                <c:pt idx="3">
                  <c:v>1856.9249245783958</c:v>
                </c:pt>
                <c:pt idx="4">
                  <c:v>3927.3265455294122</c:v>
                </c:pt>
                <c:pt idx="5">
                  <c:v>5730.2319207933424</c:v>
                </c:pt>
                <c:pt idx="6">
                  <c:v>1989.0093023764352</c:v>
                </c:pt>
                <c:pt idx="7">
                  <c:v>1424.3584769571812</c:v>
                </c:pt>
                <c:pt idx="8">
                  <c:v>4514.8704255539633</c:v>
                </c:pt>
                <c:pt idx="9">
                  <c:v>6784.7063628087908</c:v>
                </c:pt>
                <c:pt idx="10">
                  <c:v>3473.4441181327111</c:v>
                </c:pt>
                <c:pt idx="11">
                  <c:v>6021.3751901074929</c:v>
                </c:pt>
                <c:pt idx="12">
                  <c:v>2827.3720841278109</c:v>
                </c:pt>
                <c:pt idx="13">
                  <c:v>2185.3186786164856</c:v>
                </c:pt>
                <c:pt idx="14">
                  <c:v>3577.6725601611533</c:v>
                </c:pt>
                <c:pt idx="15">
                  <c:v>1930.6013363493485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D6-4DC1-BA36-3E38B4322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010319"/>
        <c:axId val="950007919"/>
      </c:scatterChart>
      <c:valAx>
        <c:axId val="950010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0007919"/>
        <c:crosses val="autoZero"/>
        <c:crossBetween val="midCat"/>
      </c:valAx>
      <c:valAx>
        <c:axId val="9500079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001031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X2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Sheet1!$C$2:$C$17</c:f>
              <c:numCache>
                <c:formatCode>General</c:formatCode>
                <c:ptCount val="16"/>
                <c:pt idx="0">
                  <c:v>12</c:v>
                </c:pt>
                <c:pt idx="1">
                  <c:v>21</c:v>
                </c:pt>
                <c:pt idx="2">
                  <c:v>42</c:v>
                </c:pt>
                <c:pt idx="3">
                  <c:v>80</c:v>
                </c:pt>
                <c:pt idx="4">
                  <c:v>120</c:v>
                </c:pt>
                <c:pt idx="5">
                  <c:v>64</c:v>
                </c:pt>
                <c:pt idx="6">
                  <c:v>43</c:v>
                </c:pt>
                <c:pt idx="7">
                  <c:v>14</c:v>
                </c:pt>
                <c:pt idx="8">
                  <c:v>88</c:v>
                </c:pt>
                <c:pt idx="9">
                  <c:v>98</c:v>
                </c:pt>
                <c:pt idx="10">
                  <c:v>44</c:v>
                </c:pt>
                <c:pt idx="11">
                  <c:v>110</c:v>
                </c:pt>
                <c:pt idx="12">
                  <c:v>38</c:v>
                </c:pt>
                <c:pt idx="13">
                  <c:v>24</c:v>
                </c:pt>
                <c:pt idx="14">
                  <c:v>60</c:v>
                </c:pt>
                <c:pt idx="15">
                  <c:v>24</c:v>
                </c:pt>
              </c:numCache>
            </c:numRef>
          </c:xVal>
          <c:yVal>
            <c:numRef>
              <c:f>Sheet1!$A$2:$A$17</c:f>
              <c:numCache>
                <c:formatCode>General</c:formatCode>
                <c:ptCount val="16"/>
                <c:pt idx="0">
                  <c:v>2800</c:v>
                </c:pt>
                <c:pt idx="1">
                  <c:v>1300</c:v>
                </c:pt>
                <c:pt idx="2">
                  <c:v>1230</c:v>
                </c:pt>
                <c:pt idx="3">
                  <c:v>1600</c:v>
                </c:pt>
                <c:pt idx="4">
                  <c:v>4500</c:v>
                </c:pt>
                <c:pt idx="5">
                  <c:v>5700</c:v>
                </c:pt>
                <c:pt idx="6">
                  <c:v>3150</c:v>
                </c:pt>
                <c:pt idx="7">
                  <c:v>640</c:v>
                </c:pt>
                <c:pt idx="8">
                  <c:v>3400</c:v>
                </c:pt>
                <c:pt idx="9">
                  <c:v>6700</c:v>
                </c:pt>
                <c:pt idx="10">
                  <c:v>3700</c:v>
                </c:pt>
                <c:pt idx="11">
                  <c:v>6440</c:v>
                </c:pt>
                <c:pt idx="12">
                  <c:v>1280</c:v>
                </c:pt>
                <c:pt idx="13">
                  <c:v>4160</c:v>
                </c:pt>
                <c:pt idx="14">
                  <c:v>3870</c:v>
                </c:pt>
                <c:pt idx="15">
                  <c:v>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E7-4E6F-A1CD-335514F49AE5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Sheet1!$C$2:$C$17</c:f>
              <c:numCache>
                <c:formatCode>General</c:formatCode>
                <c:ptCount val="16"/>
                <c:pt idx="0">
                  <c:v>12</c:v>
                </c:pt>
                <c:pt idx="1">
                  <c:v>21</c:v>
                </c:pt>
                <c:pt idx="2">
                  <c:v>42</c:v>
                </c:pt>
                <c:pt idx="3">
                  <c:v>80</c:v>
                </c:pt>
                <c:pt idx="4">
                  <c:v>120</c:v>
                </c:pt>
                <c:pt idx="5">
                  <c:v>64</c:v>
                </c:pt>
                <c:pt idx="6">
                  <c:v>43</c:v>
                </c:pt>
                <c:pt idx="7">
                  <c:v>14</c:v>
                </c:pt>
                <c:pt idx="8">
                  <c:v>88</c:v>
                </c:pt>
                <c:pt idx="9">
                  <c:v>98</c:v>
                </c:pt>
                <c:pt idx="10">
                  <c:v>44</c:v>
                </c:pt>
                <c:pt idx="11">
                  <c:v>110</c:v>
                </c:pt>
                <c:pt idx="12">
                  <c:v>38</c:v>
                </c:pt>
                <c:pt idx="13">
                  <c:v>24</c:v>
                </c:pt>
                <c:pt idx="14">
                  <c:v>60</c:v>
                </c:pt>
                <c:pt idx="15">
                  <c:v>24</c:v>
                </c:pt>
              </c:numCache>
            </c:numRef>
          </c:xVal>
          <c:yVal>
            <c:numRef>
              <c:f>Sheet2!$B$27:$B$42</c:f>
              <c:numCache>
                <c:formatCode>General</c:formatCode>
                <c:ptCount val="16"/>
                <c:pt idx="0">
                  <c:v>1964.5306642114735</c:v>
                </c:pt>
                <c:pt idx="1">
                  <c:v>1385.2774522529403</c:v>
                </c:pt>
                <c:pt idx="2">
                  <c:v>1856.9799574430644</c:v>
                </c:pt>
                <c:pt idx="3">
                  <c:v>1856.9249245783958</c:v>
                </c:pt>
                <c:pt idx="4">
                  <c:v>3927.3265455294122</c:v>
                </c:pt>
                <c:pt idx="5">
                  <c:v>5730.2319207933424</c:v>
                </c:pt>
                <c:pt idx="6">
                  <c:v>1989.0093023764352</c:v>
                </c:pt>
                <c:pt idx="7">
                  <c:v>1424.3584769571812</c:v>
                </c:pt>
                <c:pt idx="8">
                  <c:v>4514.8704255539633</c:v>
                </c:pt>
                <c:pt idx="9">
                  <c:v>6784.7063628087908</c:v>
                </c:pt>
                <c:pt idx="10">
                  <c:v>3473.4441181327111</c:v>
                </c:pt>
                <c:pt idx="11">
                  <c:v>6021.3751901074929</c:v>
                </c:pt>
                <c:pt idx="12">
                  <c:v>2827.3720841278109</c:v>
                </c:pt>
                <c:pt idx="13">
                  <c:v>2185.3186786164856</c:v>
                </c:pt>
                <c:pt idx="14">
                  <c:v>3577.6725601611533</c:v>
                </c:pt>
                <c:pt idx="15">
                  <c:v>1930.6013363493485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E7-4E6F-A1CD-335514F49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019439"/>
        <c:axId val="950019919"/>
      </c:scatterChart>
      <c:valAx>
        <c:axId val="950019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0019919"/>
        <c:crosses val="autoZero"/>
        <c:crossBetween val="midCat"/>
      </c:valAx>
      <c:valAx>
        <c:axId val="9500199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00194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X3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Sheet1!$D$2:$D$17</c:f>
              <c:numCache>
                <c:formatCode>General</c:formatCode>
                <c:ptCount val="16"/>
                <c:pt idx="0">
                  <c:v>1800</c:v>
                </c:pt>
                <c:pt idx="1">
                  <c:v>320</c:v>
                </c:pt>
                <c:pt idx="2">
                  <c:v>820</c:v>
                </c:pt>
                <c:pt idx="3">
                  <c:v>76</c:v>
                </c:pt>
                <c:pt idx="4">
                  <c:v>3600</c:v>
                </c:pt>
                <c:pt idx="5">
                  <c:v>8400</c:v>
                </c:pt>
                <c:pt idx="6">
                  <c:v>508</c:v>
                </c:pt>
                <c:pt idx="7">
                  <c:v>870</c:v>
                </c:pt>
                <c:pt idx="8">
                  <c:v>5500</c:v>
                </c:pt>
                <c:pt idx="9">
                  <c:v>9875</c:v>
                </c:pt>
                <c:pt idx="10">
                  <c:v>6500</c:v>
                </c:pt>
                <c:pt idx="11">
                  <c:v>9130</c:v>
                </c:pt>
                <c:pt idx="12">
                  <c:v>1200</c:v>
                </c:pt>
                <c:pt idx="13">
                  <c:v>890</c:v>
                </c:pt>
                <c:pt idx="14">
                  <c:v>1200</c:v>
                </c:pt>
                <c:pt idx="15">
                  <c:v>1300</c:v>
                </c:pt>
              </c:numCache>
            </c:numRef>
          </c:xVal>
          <c:yVal>
            <c:numRef>
              <c:f>Sheet1!$A$2:$A$17</c:f>
              <c:numCache>
                <c:formatCode>General</c:formatCode>
                <c:ptCount val="16"/>
                <c:pt idx="0">
                  <c:v>2800</c:v>
                </c:pt>
                <c:pt idx="1">
                  <c:v>1300</c:v>
                </c:pt>
                <c:pt idx="2">
                  <c:v>1230</c:v>
                </c:pt>
                <c:pt idx="3">
                  <c:v>1600</c:v>
                </c:pt>
                <c:pt idx="4">
                  <c:v>4500</c:v>
                </c:pt>
                <c:pt idx="5">
                  <c:v>5700</c:v>
                </c:pt>
                <c:pt idx="6">
                  <c:v>3150</c:v>
                </c:pt>
                <c:pt idx="7">
                  <c:v>640</c:v>
                </c:pt>
                <c:pt idx="8">
                  <c:v>3400</c:v>
                </c:pt>
                <c:pt idx="9">
                  <c:v>6700</c:v>
                </c:pt>
                <c:pt idx="10">
                  <c:v>3700</c:v>
                </c:pt>
                <c:pt idx="11">
                  <c:v>6440</c:v>
                </c:pt>
                <c:pt idx="12">
                  <c:v>1280</c:v>
                </c:pt>
                <c:pt idx="13">
                  <c:v>4160</c:v>
                </c:pt>
                <c:pt idx="14">
                  <c:v>3870</c:v>
                </c:pt>
                <c:pt idx="15">
                  <c:v>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C1-477C-81B4-4FA937B07892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Sheet1!$D$2:$D$17</c:f>
              <c:numCache>
                <c:formatCode>General</c:formatCode>
                <c:ptCount val="16"/>
                <c:pt idx="0">
                  <c:v>1800</c:v>
                </c:pt>
                <c:pt idx="1">
                  <c:v>320</c:v>
                </c:pt>
                <c:pt idx="2">
                  <c:v>820</c:v>
                </c:pt>
                <c:pt idx="3">
                  <c:v>76</c:v>
                </c:pt>
                <c:pt idx="4">
                  <c:v>3600</c:v>
                </c:pt>
                <c:pt idx="5">
                  <c:v>8400</c:v>
                </c:pt>
                <c:pt idx="6">
                  <c:v>508</c:v>
                </c:pt>
                <c:pt idx="7">
                  <c:v>870</c:v>
                </c:pt>
                <c:pt idx="8">
                  <c:v>5500</c:v>
                </c:pt>
                <c:pt idx="9">
                  <c:v>9875</c:v>
                </c:pt>
                <c:pt idx="10">
                  <c:v>6500</c:v>
                </c:pt>
                <c:pt idx="11">
                  <c:v>9130</c:v>
                </c:pt>
                <c:pt idx="12">
                  <c:v>1200</c:v>
                </c:pt>
                <c:pt idx="13">
                  <c:v>890</c:v>
                </c:pt>
                <c:pt idx="14">
                  <c:v>1200</c:v>
                </c:pt>
                <c:pt idx="15">
                  <c:v>1300</c:v>
                </c:pt>
              </c:numCache>
            </c:numRef>
          </c:xVal>
          <c:yVal>
            <c:numRef>
              <c:f>Sheet2!$B$27:$B$42</c:f>
              <c:numCache>
                <c:formatCode>General</c:formatCode>
                <c:ptCount val="16"/>
                <c:pt idx="0">
                  <c:v>1964.5306642114735</c:v>
                </c:pt>
                <c:pt idx="1">
                  <c:v>1385.2774522529403</c:v>
                </c:pt>
                <c:pt idx="2">
                  <c:v>1856.9799574430644</c:v>
                </c:pt>
                <c:pt idx="3">
                  <c:v>1856.9249245783958</c:v>
                </c:pt>
                <c:pt idx="4">
                  <c:v>3927.3265455294122</c:v>
                </c:pt>
                <c:pt idx="5">
                  <c:v>5730.2319207933424</c:v>
                </c:pt>
                <c:pt idx="6">
                  <c:v>1989.0093023764352</c:v>
                </c:pt>
                <c:pt idx="7">
                  <c:v>1424.3584769571812</c:v>
                </c:pt>
                <c:pt idx="8">
                  <c:v>4514.8704255539633</c:v>
                </c:pt>
                <c:pt idx="9">
                  <c:v>6784.7063628087908</c:v>
                </c:pt>
                <c:pt idx="10">
                  <c:v>3473.4441181327111</c:v>
                </c:pt>
                <c:pt idx="11">
                  <c:v>6021.3751901074929</c:v>
                </c:pt>
                <c:pt idx="12">
                  <c:v>2827.3720841278109</c:v>
                </c:pt>
                <c:pt idx="13">
                  <c:v>2185.3186786164856</c:v>
                </c:pt>
                <c:pt idx="14">
                  <c:v>3577.6725601611533</c:v>
                </c:pt>
                <c:pt idx="15">
                  <c:v>1930.6013363493485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C1-477C-81B4-4FA937B07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019439"/>
        <c:axId val="950021839"/>
      </c:scatterChart>
      <c:valAx>
        <c:axId val="950019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X3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0021839"/>
        <c:crosses val="autoZero"/>
        <c:crossBetween val="midCat"/>
      </c:valAx>
      <c:valAx>
        <c:axId val="950021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00194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Sheet2!$F$27:$F$42</c:f>
              <c:numCache>
                <c:formatCode>General</c:formatCode>
                <c:ptCount val="16"/>
                <c:pt idx="0">
                  <c:v>3.125</c:v>
                </c:pt>
                <c:pt idx="1">
                  <c:v>9.375</c:v>
                </c:pt>
                <c:pt idx="2">
                  <c:v>15.625</c:v>
                </c:pt>
                <c:pt idx="3">
                  <c:v>21.875</c:v>
                </c:pt>
                <c:pt idx="4">
                  <c:v>28.125</c:v>
                </c:pt>
                <c:pt idx="5">
                  <c:v>34.375</c:v>
                </c:pt>
                <c:pt idx="6">
                  <c:v>40.625</c:v>
                </c:pt>
                <c:pt idx="7">
                  <c:v>46.875</c:v>
                </c:pt>
                <c:pt idx="8">
                  <c:v>53.125</c:v>
                </c:pt>
                <c:pt idx="9">
                  <c:v>59.375</c:v>
                </c:pt>
                <c:pt idx="10">
                  <c:v>65.625</c:v>
                </c:pt>
                <c:pt idx="11">
                  <c:v>71.875</c:v>
                </c:pt>
                <c:pt idx="12">
                  <c:v>78.125</c:v>
                </c:pt>
                <c:pt idx="13">
                  <c:v>84.375</c:v>
                </c:pt>
                <c:pt idx="14">
                  <c:v>90.625</c:v>
                </c:pt>
                <c:pt idx="15">
                  <c:v>96.875</c:v>
                </c:pt>
              </c:numCache>
            </c:numRef>
          </c:xVal>
          <c:yVal>
            <c:numRef>
              <c:f>Sheet2!$G$27:$G$42</c:f>
              <c:numCache>
                <c:formatCode>General</c:formatCode>
                <c:ptCount val="16"/>
                <c:pt idx="0">
                  <c:v>640</c:v>
                </c:pt>
                <c:pt idx="1">
                  <c:v>980</c:v>
                </c:pt>
                <c:pt idx="2">
                  <c:v>1230</c:v>
                </c:pt>
                <c:pt idx="3">
                  <c:v>1280</c:v>
                </c:pt>
                <c:pt idx="4">
                  <c:v>1300</c:v>
                </c:pt>
                <c:pt idx="5">
                  <c:v>1600</c:v>
                </c:pt>
                <c:pt idx="6">
                  <c:v>2800</c:v>
                </c:pt>
                <c:pt idx="7">
                  <c:v>3150</c:v>
                </c:pt>
                <c:pt idx="8">
                  <c:v>3400</c:v>
                </c:pt>
                <c:pt idx="9">
                  <c:v>3700</c:v>
                </c:pt>
                <c:pt idx="10">
                  <c:v>3870</c:v>
                </c:pt>
                <c:pt idx="11">
                  <c:v>4160</c:v>
                </c:pt>
                <c:pt idx="12">
                  <c:v>4500</c:v>
                </c:pt>
                <c:pt idx="13">
                  <c:v>5700</c:v>
                </c:pt>
                <c:pt idx="14">
                  <c:v>6440</c:v>
                </c:pt>
                <c:pt idx="15">
                  <c:v>6700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05-42A5-95FF-A48FA3A55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010799"/>
        <c:axId val="950019439"/>
      </c:scatterChart>
      <c:valAx>
        <c:axId val="950010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0019439"/>
        <c:crosses val="autoZero"/>
        <c:crossBetween val="midCat"/>
      </c:valAx>
      <c:valAx>
        <c:axId val="950019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001079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B7859E-B8F0-CA2B-E6B7-05E2766F3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C4CCAF-07C9-2365-6C20-CFD25F94E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247650</xdr:colOff>
      <xdr:row>4</xdr:row>
      <xdr:rowOff>177800</xdr:rowOff>
    </xdr:from>
    <xdr:to>
      <xdr:col>17</xdr:col>
      <xdr:colOff>247650</xdr:colOff>
      <xdr:row>14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87385D-2C46-91DB-C9BE-07D1ABFF1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247650</xdr:colOff>
      <xdr:row>6</xdr:row>
      <xdr:rowOff>177800</xdr:rowOff>
    </xdr:from>
    <xdr:to>
      <xdr:col>18</xdr:col>
      <xdr:colOff>247650</xdr:colOff>
      <xdr:row>16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F66DA5-1C1C-5D27-9051-8528F12A6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247650</xdr:colOff>
      <xdr:row>8</xdr:row>
      <xdr:rowOff>177800</xdr:rowOff>
    </xdr:from>
    <xdr:to>
      <xdr:col>19</xdr:col>
      <xdr:colOff>247650</xdr:colOff>
      <xdr:row>18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777BD1-29E3-1BC9-7999-7A11DD829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247650</xdr:colOff>
      <xdr:row>10</xdr:row>
      <xdr:rowOff>177800</xdr:rowOff>
    </xdr:from>
    <xdr:to>
      <xdr:col>20</xdr:col>
      <xdr:colOff>247650</xdr:colOff>
      <xdr:row>20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4A0813-99D1-8D93-DD28-83F239992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247650</xdr:colOff>
      <xdr:row>12</xdr:row>
      <xdr:rowOff>177800</xdr:rowOff>
    </xdr:from>
    <xdr:to>
      <xdr:col>21</xdr:col>
      <xdr:colOff>247650</xdr:colOff>
      <xdr:row>22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0B73FB-64E3-FF80-5CBE-237956004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F086-D34A-486B-9018-4E62AA93822D}">
  <dimension ref="A1:I42"/>
  <sheetViews>
    <sheetView workbookViewId="0">
      <selection activeCell="D8" sqref="D8"/>
    </sheetView>
  </sheetViews>
  <sheetFormatPr defaultRowHeight="14.45"/>
  <cols>
    <col min="1" max="1" width="16.42578125" bestFit="1" customWidth="1"/>
    <col min="2" max="2" width="11.85546875" bestFit="1" customWidth="1"/>
    <col min="3" max="3" width="13.85546875" bestFit="1" customWidth="1"/>
    <col min="4" max="4" width="17.140625" bestFit="1" customWidth="1"/>
    <col min="5" max="5" width="11.85546875" bestFit="1" customWidth="1"/>
    <col min="6" max="6" width="18.7109375" bestFit="1" customWidth="1"/>
    <col min="7" max="7" width="11.85546875" bestFit="1" customWidth="1"/>
    <col min="8" max="8" width="12.42578125" bestFit="1" customWidth="1"/>
    <col min="9" max="9" width="12" bestFit="1" customWidth="1"/>
  </cols>
  <sheetData>
    <row r="1" spans="1:9">
      <c r="A1" t="s">
        <v>0</v>
      </c>
    </row>
    <row r="2" spans="1:9" ht="15" thickBot="1"/>
    <row r="3" spans="1:9">
      <c r="A3" s="19" t="s">
        <v>1</v>
      </c>
      <c r="B3" s="19"/>
    </row>
    <row r="4" spans="1:9">
      <c r="A4" t="s">
        <v>2</v>
      </c>
      <c r="B4">
        <v>0.88790845599581514</v>
      </c>
    </row>
    <row r="5" spans="1:9">
      <c r="A5" t="s">
        <v>3</v>
      </c>
      <c r="B5">
        <v>0.78838142622887242</v>
      </c>
    </row>
    <row r="6" spans="1:9">
      <c r="A6" s="14" t="s">
        <v>4</v>
      </c>
      <c r="B6" s="14">
        <v>0.73547678278609052</v>
      </c>
    </row>
    <row r="7" spans="1:9">
      <c r="A7" t="s">
        <v>5</v>
      </c>
      <c r="B7">
        <v>1008.9554196831505</v>
      </c>
    </row>
    <row r="8" spans="1:9" ht="15" thickBot="1">
      <c r="A8" s="20" t="s">
        <v>6</v>
      </c>
      <c r="B8" s="20">
        <v>16</v>
      </c>
    </row>
    <row r="10" spans="1:9" ht="15" thickBot="1">
      <c r="A10" t="s">
        <v>7</v>
      </c>
    </row>
    <row r="11" spans="1:9">
      <c r="A11" s="18"/>
      <c r="B11" s="18" t="s">
        <v>8</v>
      </c>
      <c r="C11" s="18" t="s">
        <v>9</v>
      </c>
      <c r="D11" s="18" t="s">
        <v>10</v>
      </c>
      <c r="E11" s="18" t="s">
        <v>11</v>
      </c>
      <c r="F11" s="18" t="s">
        <v>12</v>
      </c>
    </row>
    <row r="12" spans="1:9">
      <c r="A12" t="s">
        <v>13</v>
      </c>
      <c r="B12">
        <v>3</v>
      </c>
      <c r="C12" s="21">
        <v>45510101.283103973</v>
      </c>
      <c r="D12" s="21">
        <v>15170033.761034658</v>
      </c>
      <c r="E12" s="21">
        <v>14.901932513381979</v>
      </c>
      <c r="F12">
        <v>2.3826641534303259E-4</v>
      </c>
    </row>
    <row r="13" spans="1:9">
      <c r="A13" t="s">
        <v>14</v>
      </c>
      <c r="B13">
        <v>12</v>
      </c>
      <c r="C13" s="21">
        <v>12215892.466896027</v>
      </c>
      <c r="D13" s="21">
        <v>1017991.0389080023</v>
      </c>
      <c r="E13" s="21"/>
    </row>
    <row r="14" spans="1:9" ht="15" thickBot="1">
      <c r="A14" s="17" t="s">
        <v>15</v>
      </c>
      <c r="B14" s="17">
        <v>15</v>
      </c>
      <c r="C14" s="22">
        <v>57725993.75</v>
      </c>
      <c r="D14" s="22"/>
      <c r="E14" s="22"/>
      <c r="F14" s="17"/>
    </row>
    <row r="15" spans="1:9" ht="15" thickBot="1"/>
    <row r="16" spans="1:9">
      <c r="A16" s="18"/>
      <c r="B16" s="18" t="s">
        <v>16</v>
      </c>
      <c r="C16" s="18" t="s">
        <v>5</v>
      </c>
      <c r="D16" s="18" t="s">
        <v>17</v>
      </c>
      <c r="E16" s="18" t="s">
        <v>18</v>
      </c>
      <c r="F16" s="18" t="s">
        <v>19</v>
      </c>
      <c r="G16" s="18" t="s">
        <v>20</v>
      </c>
      <c r="H16" s="18" t="s">
        <v>21</v>
      </c>
      <c r="I16" s="18" t="s">
        <v>22</v>
      </c>
    </row>
    <row r="17" spans="1:9">
      <c r="A17" t="s">
        <v>23</v>
      </c>
      <c r="B17">
        <v>965.28089394650328</v>
      </c>
      <c r="C17">
        <v>499.75016200482901</v>
      </c>
      <c r="D17">
        <v>1.9315269255223892</v>
      </c>
      <c r="E17">
        <v>7.7375933002483688E-2</v>
      </c>
      <c r="F17">
        <v>-123.58117065789406</v>
      </c>
      <c r="G17">
        <v>2054.1429585509004</v>
      </c>
      <c r="H17">
        <v>-123.58117065789406</v>
      </c>
      <c r="I17">
        <v>2054.1429585509004</v>
      </c>
    </row>
    <row r="18" spans="1:9">
      <c r="A18" t="s">
        <v>24</v>
      </c>
      <c r="B18">
        <v>2.8653230696750622</v>
      </c>
      <c r="C18">
        <v>1.5828390133069776</v>
      </c>
      <c r="D18">
        <v>1.810242889887222</v>
      </c>
      <c r="E18">
        <v>9.5353152430879842E-2</v>
      </c>
      <c r="F18">
        <v>-0.58338687981599735</v>
      </c>
      <c r="G18">
        <v>6.3140330191661214</v>
      </c>
      <c r="H18">
        <v>-0.58338687981599735</v>
      </c>
      <c r="I18">
        <v>6.3140330191661214</v>
      </c>
    </row>
    <row r="19" spans="1:9">
      <c r="A19" t="s">
        <v>25</v>
      </c>
      <c r="B19">
        <v>6.7537559727990724</v>
      </c>
      <c r="C19">
        <v>10.279117076143432</v>
      </c>
      <c r="D19">
        <v>0.65703658424843803</v>
      </c>
      <c r="E19">
        <v>0.52355921811752948</v>
      </c>
      <c r="F19">
        <v>-15.642516190353724</v>
      </c>
      <c r="G19">
        <v>29.150028135951871</v>
      </c>
      <c r="H19">
        <v>-15.642516190353724</v>
      </c>
      <c r="I19">
        <v>29.150028135951871</v>
      </c>
    </row>
    <row r="20" spans="1:9" ht="15" thickBot="1">
      <c r="A20" s="17" t="s">
        <v>26</v>
      </c>
      <c r="B20" s="17">
        <v>0.28725526046492939</v>
      </c>
      <c r="C20" s="17">
        <v>0.11106932990631878</v>
      </c>
      <c r="D20" s="17">
        <v>2.5862698614209187</v>
      </c>
      <c r="E20" s="17">
        <v>2.3821050822327348E-2</v>
      </c>
      <c r="F20" s="17">
        <v>4.5255979482500042E-2</v>
      </c>
      <c r="G20" s="17">
        <v>0.52925454144735873</v>
      </c>
      <c r="H20" s="17">
        <v>4.5255979482500042E-2</v>
      </c>
      <c r="I20" s="17">
        <v>0.52925454144735873</v>
      </c>
    </row>
    <row r="24" spans="1:9">
      <c r="A24" t="s">
        <v>27</v>
      </c>
      <c r="F24" t="s">
        <v>28</v>
      </c>
    </row>
    <row r="25" spans="1:9" ht="15" thickBot="1"/>
    <row r="26" spans="1:9">
      <c r="A26" s="18" t="s">
        <v>29</v>
      </c>
      <c r="B26" s="18" t="s">
        <v>30</v>
      </c>
      <c r="C26" s="18" t="s">
        <v>31</v>
      </c>
      <c r="D26" s="18" t="s">
        <v>32</v>
      </c>
      <c r="F26" s="18" t="s">
        <v>33</v>
      </c>
      <c r="G26" s="18" t="s">
        <v>34</v>
      </c>
    </row>
    <row r="27" spans="1:9">
      <c r="A27">
        <v>1</v>
      </c>
      <c r="B27">
        <v>1964.5306642114735</v>
      </c>
      <c r="C27">
        <v>835.46933578852645</v>
      </c>
      <c r="D27">
        <v>0.92579225577995139</v>
      </c>
      <c r="F27">
        <v>3.125</v>
      </c>
      <c r="G27">
        <v>640</v>
      </c>
    </row>
    <row r="28" spans="1:9">
      <c r="A28">
        <v>2</v>
      </c>
      <c r="B28">
        <v>1385.2774522529403</v>
      </c>
      <c r="C28">
        <v>-85.277452252940293</v>
      </c>
      <c r="D28">
        <v>-9.4496831309677495E-2</v>
      </c>
      <c r="F28">
        <v>9.375</v>
      </c>
      <c r="G28">
        <v>980</v>
      </c>
    </row>
    <row r="29" spans="1:9">
      <c r="A29">
        <v>3</v>
      </c>
      <c r="B29">
        <v>1856.9799574430644</v>
      </c>
      <c r="C29">
        <v>-626.97995744306445</v>
      </c>
      <c r="D29">
        <v>-0.69476300836606231</v>
      </c>
      <c r="F29">
        <v>15.625</v>
      </c>
      <c r="G29">
        <v>1230</v>
      </c>
    </row>
    <row r="30" spans="1:9">
      <c r="A30">
        <v>4</v>
      </c>
      <c r="B30">
        <v>1856.9249245783958</v>
      </c>
      <c r="C30">
        <v>-256.9249245783958</v>
      </c>
      <c r="D30">
        <v>-0.28470117968726227</v>
      </c>
      <c r="F30">
        <v>21.875</v>
      </c>
      <c r="G30">
        <v>1280</v>
      </c>
    </row>
    <row r="31" spans="1:9">
      <c r="A31">
        <v>5</v>
      </c>
      <c r="B31">
        <v>3927.3265455294122</v>
      </c>
      <c r="C31">
        <v>572.67345447058779</v>
      </c>
      <c r="D31">
        <v>0.63458540790038143</v>
      </c>
      <c r="F31">
        <v>28.125</v>
      </c>
      <c r="G31">
        <v>1300</v>
      </c>
    </row>
    <row r="32" spans="1:9">
      <c r="A32">
        <v>6</v>
      </c>
      <c r="B32">
        <v>5730.2319207933424</v>
      </c>
      <c r="C32">
        <v>-30.231920793342397</v>
      </c>
      <c r="D32">
        <v>-3.3500305695137692E-2</v>
      </c>
      <c r="F32">
        <v>34.375</v>
      </c>
      <c r="G32">
        <v>1600</v>
      </c>
    </row>
    <row r="33" spans="1:7">
      <c r="A33">
        <v>7</v>
      </c>
      <c r="B33">
        <v>1989.0093023764352</v>
      </c>
      <c r="C33">
        <v>1160.9906976235648</v>
      </c>
      <c r="D33">
        <v>1.2865058606585669</v>
      </c>
      <c r="F33">
        <v>40.625</v>
      </c>
      <c r="G33">
        <v>2800</v>
      </c>
    </row>
    <row r="34" spans="1:7">
      <c r="A34">
        <v>8</v>
      </c>
      <c r="B34">
        <v>1424.3584769571812</v>
      </c>
      <c r="C34">
        <v>-784.35847695718121</v>
      </c>
      <c r="D34">
        <v>-0.86915578180611919</v>
      </c>
      <c r="F34">
        <v>46.875</v>
      </c>
      <c r="G34">
        <v>3150</v>
      </c>
    </row>
    <row r="35" spans="1:7">
      <c r="A35">
        <v>9</v>
      </c>
      <c r="B35">
        <v>4514.8704255539633</v>
      </c>
      <c r="C35">
        <v>-1114.8704255539633</v>
      </c>
      <c r="D35">
        <v>-1.2353995077531037</v>
      </c>
      <c r="F35">
        <v>53.125</v>
      </c>
      <c r="G35">
        <v>3400</v>
      </c>
    </row>
    <row r="36" spans="1:7">
      <c r="A36">
        <v>10</v>
      </c>
      <c r="B36">
        <v>6784.7063628087908</v>
      </c>
      <c r="C36">
        <v>-84.7063628087908</v>
      </c>
      <c r="D36">
        <v>-9.3864001160079882E-2</v>
      </c>
      <c r="F36">
        <v>59.375</v>
      </c>
      <c r="G36">
        <v>3700</v>
      </c>
    </row>
    <row r="37" spans="1:7">
      <c r="A37">
        <v>11</v>
      </c>
      <c r="B37">
        <v>3473.4441181327111</v>
      </c>
      <c r="C37">
        <v>226.55588186728892</v>
      </c>
      <c r="D37">
        <v>0.25104892776965282</v>
      </c>
      <c r="F37">
        <v>65.625</v>
      </c>
      <c r="G37">
        <v>3870</v>
      </c>
    </row>
    <row r="38" spans="1:7">
      <c r="A38">
        <v>12</v>
      </c>
      <c r="B38">
        <v>6021.3751901074929</v>
      </c>
      <c r="C38">
        <v>418.62480989250707</v>
      </c>
      <c r="D38">
        <v>0.46388250349135052</v>
      </c>
      <c r="F38">
        <v>71.875</v>
      </c>
      <c r="G38">
        <v>4160</v>
      </c>
    </row>
    <row r="39" spans="1:7">
      <c r="A39">
        <v>13</v>
      </c>
      <c r="B39">
        <v>2827.3720841278109</v>
      </c>
      <c r="C39">
        <v>-1547.3720841278109</v>
      </c>
      <c r="D39">
        <v>-1.714659091519567</v>
      </c>
      <c r="F39">
        <v>78.125</v>
      </c>
      <c r="G39">
        <v>4500</v>
      </c>
    </row>
    <row r="40" spans="1:7">
      <c r="A40">
        <v>14</v>
      </c>
      <c r="B40">
        <v>2185.3186786164856</v>
      </c>
      <c r="C40">
        <v>1974.6813213835144</v>
      </c>
      <c r="D40">
        <v>2.1881648992476221</v>
      </c>
      <c r="F40">
        <v>84.375</v>
      </c>
      <c r="G40">
        <v>5700</v>
      </c>
    </row>
    <row r="41" spans="1:7">
      <c r="A41">
        <v>15</v>
      </c>
      <c r="B41">
        <v>3577.6725601611533</v>
      </c>
      <c r="C41">
        <v>292.32743983884666</v>
      </c>
      <c r="D41">
        <v>0.32393107486028277</v>
      </c>
      <c r="F41">
        <v>90.625</v>
      </c>
      <c r="G41">
        <v>6440</v>
      </c>
    </row>
    <row r="42" spans="1:7" ht="15" thickBot="1">
      <c r="A42" s="17">
        <v>16</v>
      </c>
      <c r="B42" s="17">
        <v>1930.6013363493485</v>
      </c>
      <c r="C42" s="17">
        <v>-950.60133634934846</v>
      </c>
      <c r="D42" s="17">
        <v>-1.0533712224108005</v>
      </c>
      <c r="F42" s="17">
        <v>96.875</v>
      </c>
      <c r="G42" s="17">
        <v>6700</v>
      </c>
    </row>
  </sheetData>
  <sortState xmlns:xlrd2="http://schemas.microsoft.com/office/spreadsheetml/2017/richdata2" ref="G27:G42">
    <sortCondition ref="G2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3957-1AAC-47DA-B9F0-C0A9BCF31276}">
  <dimension ref="A1:N80"/>
  <sheetViews>
    <sheetView tabSelected="1" topLeftCell="A13" workbookViewId="0">
      <selection activeCell="A23" sqref="A23"/>
    </sheetView>
  </sheetViews>
  <sheetFormatPr defaultRowHeight="14.45"/>
  <cols>
    <col min="4" max="4" width="11" bestFit="1" customWidth="1"/>
    <col min="5" max="5" width="17.140625" customWidth="1"/>
    <col min="6" max="6" width="13.140625" customWidth="1"/>
    <col min="7" max="7" width="13.85546875" bestFit="1" customWidth="1"/>
    <col min="8" max="8" width="17.140625" bestFit="1" customWidth="1"/>
    <col min="9" max="9" width="11.140625" customWidth="1"/>
    <col min="10" max="10" width="17.140625" bestFit="1" customWidth="1"/>
  </cols>
  <sheetData>
    <row r="1" spans="1:4">
      <c r="A1" s="1" t="s">
        <v>34</v>
      </c>
      <c r="B1" s="1" t="s">
        <v>24</v>
      </c>
      <c r="C1" s="1" t="s">
        <v>25</v>
      </c>
      <c r="D1" s="1" t="s">
        <v>26</v>
      </c>
    </row>
    <row r="2" spans="1:4">
      <c r="A2">
        <v>2800</v>
      </c>
      <c r="B2">
        <v>140</v>
      </c>
      <c r="C2">
        <v>12</v>
      </c>
      <c r="D2">
        <v>1800</v>
      </c>
    </row>
    <row r="3" spans="1:4">
      <c r="A3">
        <v>1300</v>
      </c>
      <c r="B3">
        <v>65</v>
      </c>
      <c r="C3">
        <v>21</v>
      </c>
      <c r="D3">
        <v>320</v>
      </c>
    </row>
    <row r="4" spans="1:4">
      <c r="A4">
        <v>1230</v>
      </c>
      <c r="B4">
        <v>130</v>
      </c>
      <c r="C4">
        <v>42</v>
      </c>
      <c r="D4">
        <v>820</v>
      </c>
    </row>
    <row r="5" spans="1:4">
      <c r="A5">
        <v>1600</v>
      </c>
      <c r="B5">
        <v>115</v>
      </c>
      <c r="C5">
        <v>80</v>
      </c>
      <c r="D5">
        <v>76</v>
      </c>
    </row>
    <row r="6" spans="1:4">
      <c r="A6">
        <v>4500</v>
      </c>
      <c r="B6">
        <v>390</v>
      </c>
      <c r="C6">
        <v>120</v>
      </c>
      <c r="D6">
        <v>3600</v>
      </c>
    </row>
    <row r="7" spans="1:4">
      <c r="A7">
        <v>5700</v>
      </c>
      <c r="B7">
        <v>670</v>
      </c>
      <c r="C7">
        <v>64</v>
      </c>
      <c r="D7">
        <v>8400</v>
      </c>
    </row>
    <row r="8" spans="1:4">
      <c r="A8">
        <v>3150</v>
      </c>
      <c r="B8">
        <v>205</v>
      </c>
      <c r="C8">
        <v>43</v>
      </c>
      <c r="D8">
        <v>508</v>
      </c>
    </row>
    <row r="9" spans="1:4">
      <c r="A9">
        <v>640</v>
      </c>
      <c r="B9">
        <v>40</v>
      </c>
      <c r="C9">
        <v>14</v>
      </c>
      <c r="D9">
        <v>870</v>
      </c>
    </row>
    <row r="10" spans="1:4">
      <c r="A10">
        <v>3400</v>
      </c>
      <c r="B10">
        <v>480</v>
      </c>
      <c r="C10">
        <v>88</v>
      </c>
      <c r="D10">
        <v>5500</v>
      </c>
    </row>
    <row r="11" spans="1:4">
      <c r="A11">
        <v>6700</v>
      </c>
      <c r="B11">
        <v>810</v>
      </c>
      <c r="C11">
        <v>98</v>
      </c>
      <c r="D11">
        <v>9875</v>
      </c>
    </row>
    <row r="12" spans="1:4">
      <c r="A12">
        <v>3700</v>
      </c>
      <c r="B12">
        <v>120</v>
      </c>
      <c r="C12">
        <v>44</v>
      </c>
      <c r="D12">
        <v>6500</v>
      </c>
    </row>
    <row r="13" spans="1:4">
      <c r="A13">
        <v>6440</v>
      </c>
      <c r="B13">
        <v>590</v>
      </c>
      <c r="C13">
        <v>110</v>
      </c>
      <c r="D13">
        <v>9130</v>
      </c>
    </row>
    <row r="14" spans="1:4">
      <c r="A14">
        <v>1280</v>
      </c>
      <c r="B14">
        <v>440</v>
      </c>
      <c r="C14">
        <v>38</v>
      </c>
      <c r="D14">
        <v>1200</v>
      </c>
    </row>
    <row r="15" spans="1:4">
      <c r="A15">
        <v>4160</v>
      </c>
      <c r="B15">
        <v>280</v>
      </c>
      <c r="C15">
        <v>24</v>
      </c>
      <c r="D15">
        <v>890</v>
      </c>
    </row>
    <row r="16" spans="1:4">
      <c r="A16">
        <v>3870</v>
      </c>
      <c r="B16">
        <v>650</v>
      </c>
      <c r="C16">
        <v>60</v>
      </c>
      <c r="D16">
        <v>1200</v>
      </c>
    </row>
    <row r="17" spans="1:14">
      <c r="A17">
        <v>980</v>
      </c>
      <c r="B17">
        <v>150</v>
      </c>
      <c r="C17">
        <v>24</v>
      </c>
      <c r="D17">
        <v>1300</v>
      </c>
    </row>
    <row r="19" spans="1:14">
      <c r="A19" s="24" t="s">
        <v>35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1:1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3" spans="1:14">
      <c r="A23" s="2" t="s">
        <v>36</v>
      </c>
    </row>
    <row r="25" spans="1:14">
      <c r="A25" t="s">
        <v>37</v>
      </c>
      <c r="E25" t="s">
        <v>38</v>
      </c>
    </row>
    <row r="27" spans="1:14">
      <c r="A27" t="s">
        <v>39</v>
      </c>
      <c r="F27" t="s">
        <v>40</v>
      </c>
    </row>
    <row r="28" spans="1:14">
      <c r="F28" t="s">
        <v>41</v>
      </c>
    </row>
    <row r="29" spans="1:14">
      <c r="F29" t="s">
        <v>42</v>
      </c>
    </row>
    <row r="31" spans="1:14">
      <c r="A31" s="2" t="s">
        <v>43</v>
      </c>
    </row>
    <row r="33" spans="1:7">
      <c r="A33" t="s">
        <v>44</v>
      </c>
      <c r="E33" t="s">
        <v>45</v>
      </c>
    </row>
    <row r="35" spans="1:7" ht="15">
      <c r="A35" t="s">
        <v>46</v>
      </c>
      <c r="E35" t="s">
        <v>47</v>
      </c>
    </row>
    <row r="37" spans="1:7">
      <c r="A37" s="2" t="s">
        <v>48</v>
      </c>
      <c r="B37" s="2"/>
      <c r="C37" s="2"/>
      <c r="D37" s="2"/>
    </row>
    <row r="39" spans="1:7">
      <c r="E39" t="s">
        <v>49</v>
      </c>
      <c r="F39" t="s">
        <v>50</v>
      </c>
    </row>
    <row r="40" spans="1:7">
      <c r="D40" t="s">
        <v>51</v>
      </c>
      <c r="E40">
        <v>965.28089390000002</v>
      </c>
      <c r="F40">
        <v>1.93152693</v>
      </c>
    </row>
    <row r="41" spans="1:7">
      <c r="D41" t="s">
        <v>52</v>
      </c>
      <c r="E41">
        <v>2.8665323069999999</v>
      </c>
      <c r="F41">
        <v>1.81024289</v>
      </c>
    </row>
    <row r="42" spans="1:7">
      <c r="D42" t="s">
        <v>53</v>
      </c>
      <c r="E42">
        <v>6.7537559729999996</v>
      </c>
      <c r="F42">
        <v>0.65703657999999998</v>
      </c>
    </row>
    <row r="43" spans="1:7">
      <c r="D43" t="s">
        <v>54</v>
      </c>
      <c r="E43">
        <v>0.28725526000000001</v>
      </c>
      <c r="F43">
        <v>2.5862698599999998</v>
      </c>
    </row>
    <row r="46" spans="1:7">
      <c r="A46" t="s">
        <v>55</v>
      </c>
    </row>
    <row r="48" spans="1:7">
      <c r="A48" t="s">
        <v>56</v>
      </c>
      <c r="F48" s="3" t="s">
        <v>57</v>
      </c>
      <c r="G48" t="s">
        <v>58</v>
      </c>
    </row>
    <row r="49" spans="1:13" ht="14.45" customHeight="1">
      <c r="F49" s="3" t="s">
        <v>59</v>
      </c>
      <c r="G49" s="25" t="s">
        <v>60</v>
      </c>
      <c r="H49" s="25"/>
      <c r="I49" s="25"/>
      <c r="J49" s="25"/>
      <c r="K49" s="25"/>
      <c r="L49" s="25"/>
      <c r="M49" s="25"/>
    </row>
    <row r="50" spans="1:13">
      <c r="G50" s="25"/>
      <c r="H50" s="25"/>
      <c r="I50" s="25"/>
      <c r="J50" s="25"/>
      <c r="K50" s="25"/>
      <c r="L50" s="25"/>
      <c r="M50" s="25"/>
    </row>
    <row r="52" spans="1:13">
      <c r="F52" s="3" t="s">
        <v>61</v>
      </c>
      <c r="G52" s="25" t="s">
        <v>62</v>
      </c>
      <c r="H52" s="25"/>
      <c r="I52" s="25"/>
      <c r="J52" s="25"/>
      <c r="K52" s="25"/>
      <c r="L52" s="25"/>
      <c r="M52" s="25"/>
    </row>
    <row r="53" spans="1:13">
      <c r="G53" s="25"/>
      <c r="H53" s="25"/>
      <c r="I53" s="25"/>
      <c r="J53" s="25"/>
      <c r="K53" s="25"/>
      <c r="L53" s="25"/>
      <c r="M53" s="25"/>
    </row>
    <row r="55" spans="1:13">
      <c r="F55" s="3" t="s">
        <v>63</v>
      </c>
      <c r="G55" s="25" t="s">
        <v>64</v>
      </c>
      <c r="H55" s="25"/>
      <c r="I55" s="25"/>
      <c r="J55" s="25"/>
      <c r="K55" s="25"/>
      <c r="L55" s="25"/>
      <c r="M55" s="25"/>
    </row>
    <row r="56" spans="1:13">
      <c r="G56" s="25"/>
      <c r="H56" s="25"/>
      <c r="I56" s="25"/>
      <c r="J56" s="25"/>
      <c r="K56" s="25"/>
      <c r="L56" s="25"/>
      <c r="M56" s="25"/>
    </row>
    <row r="58" spans="1:13">
      <c r="A58" t="s">
        <v>65</v>
      </c>
      <c r="B58" t="s">
        <v>66</v>
      </c>
    </row>
    <row r="59" spans="1:13" ht="15" thickBot="1"/>
    <row r="60" spans="1:13">
      <c r="D60" s="4"/>
      <c r="E60" s="6" t="s">
        <v>67</v>
      </c>
      <c r="F60" s="6" t="s">
        <v>68</v>
      </c>
      <c r="G60" s="10" t="s">
        <v>69</v>
      </c>
      <c r="H60" s="12" t="s">
        <v>70</v>
      </c>
    </row>
    <row r="61" spans="1:13" ht="15" thickBot="1">
      <c r="D61" s="4" t="s">
        <v>71</v>
      </c>
      <c r="E61" s="5">
        <v>45510101.280000001</v>
      </c>
      <c r="F61" s="6">
        <f>4 -1</f>
        <v>3</v>
      </c>
      <c r="G61" s="11">
        <f>E61/F61</f>
        <v>15170033.76</v>
      </c>
      <c r="H61" s="13">
        <f>G61/G62</f>
        <v>14.901932508579129</v>
      </c>
      <c r="J61" s="1" t="s">
        <v>72</v>
      </c>
      <c r="M61" t="s">
        <v>73</v>
      </c>
    </row>
    <row r="62" spans="1:13">
      <c r="D62" s="4" t="s">
        <v>74</v>
      </c>
      <c r="E62" s="5">
        <v>12215892.470000001</v>
      </c>
      <c r="F62" s="6">
        <f>16-4</f>
        <v>12</v>
      </c>
      <c r="G62" s="9">
        <f>E62/F62</f>
        <v>1017991.0391666667</v>
      </c>
      <c r="J62" s="8" t="s">
        <v>75</v>
      </c>
    </row>
    <row r="63" spans="1:13">
      <c r="D63" s="4" t="s">
        <v>15</v>
      </c>
      <c r="E63" s="5">
        <f>E61+E62</f>
        <v>57725993.75</v>
      </c>
      <c r="F63" s="7">
        <f>16-1</f>
        <v>15</v>
      </c>
      <c r="J63" s="1" t="s">
        <v>76</v>
      </c>
    </row>
    <row r="66" spans="1:10">
      <c r="J66" t="s">
        <v>77</v>
      </c>
    </row>
    <row r="67" spans="1:10">
      <c r="A67" t="s">
        <v>78</v>
      </c>
      <c r="B67" t="s">
        <v>79</v>
      </c>
      <c r="J67" t="s">
        <v>80</v>
      </c>
    </row>
    <row r="68" spans="1:10">
      <c r="A68" t="s">
        <v>81</v>
      </c>
      <c r="B68" t="s">
        <v>82</v>
      </c>
    </row>
    <row r="69" spans="1:10">
      <c r="B69" t="s">
        <v>83</v>
      </c>
      <c r="I69" s="15"/>
    </row>
    <row r="70" spans="1:10">
      <c r="F70" s="14"/>
      <c r="I70" s="15"/>
    </row>
    <row r="71" spans="1:10">
      <c r="E71" s="14"/>
      <c r="F71" s="14"/>
      <c r="I71" s="15"/>
    </row>
    <row r="72" spans="1:10">
      <c r="A72" t="s">
        <v>84</v>
      </c>
      <c r="E72" s="14"/>
      <c r="F72" s="14"/>
      <c r="I72" s="15"/>
    </row>
    <row r="73" spans="1:10">
      <c r="E73" s="14"/>
      <c r="F73" s="26" t="s">
        <v>85</v>
      </c>
      <c r="G73" s="26"/>
      <c r="I73" s="15"/>
    </row>
    <row r="74" spans="1:10">
      <c r="A74">
        <f>_xlfn.F.INV.RT(0.05, F61,F62)</f>
        <v>3.4902948194976045</v>
      </c>
      <c r="E74" s="14"/>
      <c r="F74" s="14"/>
      <c r="G74" s="14"/>
      <c r="I74" s="15"/>
    </row>
    <row r="75" spans="1:10">
      <c r="E75" s="14"/>
      <c r="F75" s="14"/>
      <c r="G75" s="14"/>
      <c r="H75" s="14"/>
      <c r="I75" s="15"/>
    </row>
    <row r="76" spans="1:10">
      <c r="E76" s="14"/>
      <c r="F76" s="14"/>
      <c r="G76" s="14"/>
      <c r="H76" s="14"/>
      <c r="I76" s="16">
        <v>0.05</v>
      </c>
    </row>
    <row r="77" spans="1:10">
      <c r="I77" s="15"/>
    </row>
    <row r="78" spans="1:10">
      <c r="H78" s="23" t="s">
        <v>86</v>
      </c>
      <c r="I78" s="23"/>
    </row>
    <row r="80" spans="1:10">
      <c r="A80" t="s">
        <v>87</v>
      </c>
    </row>
  </sheetData>
  <mergeCells count="6">
    <mergeCell ref="H78:I78"/>
    <mergeCell ref="A19:N21"/>
    <mergeCell ref="G49:M50"/>
    <mergeCell ref="G52:M53"/>
    <mergeCell ref="G55:M56"/>
    <mergeCell ref="F73:G7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B19D5CC4534746A1375DCD7D97BA78" ma:contentTypeVersion="5" ma:contentTypeDescription="Crear nuevo documento." ma:contentTypeScope="" ma:versionID="18357202b8d43eed35373e20415e4735">
  <xsd:schema xmlns:xsd="http://www.w3.org/2001/XMLSchema" xmlns:xs="http://www.w3.org/2001/XMLSchema" xmlns:p="http://schemas.microsoft.com/office/2006/metadata/properties" xmlns:ns2="f8c33586-df0a-4cc1-a645-d26feab02d8d" targetNamespace="http://schemas.microsoft.com/office/2006/metadata/properties" ma:root="true" ma:fieldsID="0bf41d598c974b655ed86a006a8c60ad" ns2:_="">
    <xsd:import namespace="f8c33586-df0a-4cc1-a645-d26feab02d8d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33586-df0a-4cc1-a645-d26feab02d8d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ro xmlns="f8c33586-df0a-4cc1-a645-d26feab02d8d">2</Nro>
    <Unidad xmlns="f8c33586-df0a-4cc1-a645-d26feab02d8d">4</Unidad>
  </documentManagement>
</p:properties>
</file>

<file path=customXml/itemProps1.xml><?xml version="1.0" encoding="utf-8"?>
<ds:datastoreItem xmlns:ds="http://schemas.openxmlformats.org/officeDocument/2006/customXml" ds:itemID="{C2857F84-152B-418E-A4CD-94F9D7181B57}"/>
</file>

<file path=customXml/itemProps2.xml><?xml version="1.0" encoding="utf-8"?>
<ds:datastoreItem xmlns:ds="http://schemas.openxmlformats.org/officeDocument/2006/customXml" ds:itemID="{2BAA1ABF-6BC6-4A09-8DFC-868A16F057DB}"/>
</file>

<file path=customXml/itemProps3.xml><?xml version="1.0" encoding="utf-8"?>
<ds:datastoreItem xmlns:ds="http://schemas.openxmlformats.org/officeDocument/2006/customXml" ds:itemID="{1EF67A73-0BF3-4D3A-A38F-CFFE142816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Federico Novoa</dc:creator>
  <cp:keywords/>
  <dc:description/>
  <cp:lastModifiedBy/>
  <cp:revision/>
  <dcterms:created xsi:type="dcterms:W3CDTF">2026-04-10T19:36:12Z</dcterms:created>
  <dcterms:modified xsi:type="dcterms:W3CDTF">2026-04-14T21:58:51Z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0x0101004EB19D5CC4534746A1375DCD7D97BA78</vt:lpwstr>
  </property>
</Properties>
</file>